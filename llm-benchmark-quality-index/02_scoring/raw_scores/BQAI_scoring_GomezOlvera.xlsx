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úbrica" sheetId="2" state="visible" r:id="rId2"/>
    <sheet xmlns:r="http://schemas.openxmlformats.org/officeDocument/2006/relationships" name="Scoring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00"/>
  </numFmts>
  <fonts count="21">
    <font>
      <name val="Calibri"/>
      <charset val="1"/>
      <family val="2"/>
      <color theme="1"/>
      <sz val="11"/>
    </font>
    <font>
      <name val="Arial"/>
      <charset val="1"/>
      <b val="1"/>
      <color rgb="FF1F3A5F"/>
      <sz val="20"/>
    </font>
    <font>
      <name val="Arial"/>
      <charset val="1"/>
      <i val="1"/>
      <color rgb="FF595959"/>
      <sz val="13"/>
    </font>
    <font>
      <name val="Arial"/>
      <charset val="1"/>
      <b val="1"/>
      <color rgb="FF1F3A5F"/>
      <sz val="13"/>
    </font>
    <font>
      <name val="Arial"/>
      <charset val="1"/>
      <color rgb="FF000000"/>
      <sz val="11"/>
    </font>
    <font>
      <name val="Arial"/>
      <charset val="1"/>
      <color rgb="FF000000"/>
      <sz val="10"/>
    </font>
    <font>
      <name val="Arial"/>
      <charset val="1"/>
      <i val="1"/>
      <color rgb="FF595959"/>
      <sz val="11"/>
    </font>
    <font>
      <name val="Arial"/>
      <charset val="1"/>
      <b val="1"/>
      <color rgb="FF1F3A5F"/>
      <sz val="16"/>
    </font>
    <font>
      <name val="Arial"/>
      <charset val="1"/>
      <i val="1"/>
      <color rgb="FF595959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000000"/>
      <sz val="9"/>
    </font>
    <font>
      <name val="Arial"/>
      <charset val="1"/>
      <color rgb="FF000000"/>
      <sz val="9"/>
    </font>
    <font>
      <name val="Arial"/>
      <charset val="1"/>
      <b val="1"/>
      <color rgb="FF1F3A5F"/>
      <sz val="12"/>
    </font>
    <font>
      <name val="Arial"/>
      <charset val="1"/>
      <b val="1"/>
      <color rgb="FF000000"/>
      <sz val="10"/>
    </font>
    <font>
      <name val="Arial"/>
      <charset val="1"/>
      <i val="1"/>
      <color rgb="FF000000"/>
      <sz val="9"/>
    </font>
    <font>
      <name val="Arial"/>
      <charset val="1"/>
      <i val="1"/>
      <color rgb="FF595959"/>
      <sz val="9"/>
    </font>
    <font>
      <name val="Arial"/>
      <charset val="1"/>
      <b val="1"/>
      <color rgb="FF1F3A5F"/>
      <sz val="10"/>
    </font>
    <font>
      <name val="Arial"/>
      <charset val="1"/>
      <color rgb="FF0563C1"/>
      <sz val="9"/>
      <u val="single"/>
    </font>
    <font>
      <name val="Arial"/>
      <family val="2"/>
      <sz val="10"/>
    </font>
    <font>
      <name val="Arial"/>
      <family val="2"/>
      <i val="1"/>
      <color rgb="FF000000"/>
      <sz val="9"/>
    </font>
    <font>
      <name val="Arial"/>
      <family val="2"/>
      <color rgb="FF0563C1"/>
      <sz val="9"/>
      <u val="single"/>
    </font>
  </fonts>
  <fills count="9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B4D4E8"/>
        <bgColor rgb="FF99CCFF"/>
      </patternFill>
    </fill>
    <fill>
      <patternFill patternType="solid">
        <fgColor rgb="FFFFFFFF"/>
        <bgColor rgb="FFF2F2F2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6" fillId="7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2" fontId="5" fillId="5" borderId="1" applyAlignment="1" pivotButton="0" quotePrefix="0" xfId="0">
      <alignment horizontal="center" vertical="center" wrapText="1"/>
    </xf>
    <xf numFmtId="164" fontId="13" fillId="4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14" fontId="0" fillId="5" borderId="1" pivotButton="0" quotePrefix="0" xfId="0"/>
    <xf numFmtId="0" fontId="19" fillId="8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4F0"/>
      <rgbColor rgb="FF660066"/>
      <rgbColor rgb="FFFF8080"/>
      <rgbColor rgb="FF0563C1"/>
      <rgbColor rgb="FFB4D4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</authors>
  <commentList>
    <comment ref="F6" authorId="0" shapeId="0">
      <text>
        <t>Q1 — Calidad de anotación. Ver Rúbrica. Peso 0.213.</t>
      </text>
    </comment>
    <comment ref="G6" authorId="0" shapeId="0">
      <text>
        <t>Q2 — Claridad/formato. Ver Rúbrica. Peso 0.073.</t>
      </text>
    </comment>
    <comment ref="H6" authorId="0" shapeId="0">
      <text>
        <t>Q3 — Estandarización/versionado. Ver Rúbrica. Peso 0.117.</t>
      </text>
    </comment>
    <comment ref="I6" authorId="0" shapeId="0">
      <text>
        <t>Q4 — Reproducibilidad (peso máximo). Ver Rúbrica. Peso 0.349.</t>
      </text>
    </comment>
    <comment ref="J6" authorId="0" shapeId="0">
      <text>
        <t>Q5 — Robustez/contaminación. Ver Rúbrica. Peso 0.167.</t>
      </text>
    </comment>
    <comment ref="K6" authorId="0" shapeId="0">
      <text>
        <t>Q6 — Cobertura cognitiva. Ver Rúbrica. Peso 0.033.</t>
      </text>
    </comment>
    <comment ref="L6" authorId="0" shapeId="0">
      <text>
        <t>Q7 — Sesgo y validez cross-cultural. Ver Rúbrica. Peso 0.048.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arxiv.org/abs/2311.12022" TargetMode="External" Id="rId1"/><Relationship Type="http://schemas.openxmlformats.org/officeDocument/2006/relationships/hyperlink" Target="https://github.com/openai/grade-school-math" TargetMode="External" Id="rId2"/><Relationship Type="http://schemas.openxmlformats.org/officeDocument/2006/relationships/hyperlink" Target="https://maa.org/math-competitions/aime" TargetMode="External" Id="rId3"/><Relationship Type="http://schemas.openxmlformats.org/officeDocument/2006/relationships/hyperlink" Target="https://epoch.ai/frontiermath" TargetMode="External" Id="rId4"/><Relationship Type="http://schemas.openxmlformats.org/officeDocument/2006/relationships/hyperlink" Target="https://huggingface.co/datasets/causalnlp/CLadder" TargetMode="External" Id="rId5"/><Relationship Type="http://schemas.openxmlformats.org/officeDocument/2006/relationships/hyperlink" Target="https://github.com/OpenBMB/OlympiadBench" TargetMode="External" Id="rId6"/><Relationship Type="http://schemas.openxmlformats.org/officeDocument/2006/relationships/hyperlink" Target="https://arxiv.org/abs/2009.03300" TargetMode="External" Id="rId7"/><Relationship Type="http://schemas.openxmlformats.org/officeDocument/2006/relationships/hyperlink" Target="https://arxiv.org/abs/2406.01574" TargetMode="External" Id="rId8"/><Relationship Type="http://schemas.openxmlformats.org/officeDocument/2006/relationships/hyperlink" Target="https://lastexam.ai/" TargetMode="External" Id="rId9"/><Relationship Type="http://schemas.openxmlformats.org/officeDocument/2006/relationships/hyperlink" Target="https://mmmu-benchmark.github.io/" TargetMode="External" Id="rId10"/><Relationship Type="http://schemas.openxmlformats.org/officeDocument/2006/relationships/hyperlink" Target="https://arxiv.org/abs/1905.07830" TargetMode="External" Id="rId11"/><Relationship Type="http://schemas.openxmlformats.org/officeDocument/2006/relationships/hyperlink" Target="https://mathvista.github.io/" TargetMode="External" Id="rId12"/><Relationship Type="http://schemas.openxmlformats.org/officeDocument/2006/relationships/hyperlink" Target="https://github.com/openai/human-eval" TargetMode="External" Id="rId13"/><Relationship Type="http://schemas.openxmlformats.org/officeDocument/2006/relationships/hyperlink" Target="https://openai.com/index/introducing-swe-bench-verified/" TargetMode="External" Id="rId14"/><Relationship Type="http://schemas.openxmlformats.org/officeDocument/2006/relationships/hyperlink" Target="https://livecodebench.github.io/" TargetMode="External" Id="rId15"/><Relationship Type="http://schemas.openxmlformats.org/officeDocument/2006/relationships/hyperlink" Target="https://arxiv.org/abs/2306.05685" TargetMode="External" Id="rId16"/><Relationship Type="http://schemas.openxmlformats.org/officeDocument/2006/relationships/hyperlink" Target="https://lmarena.ai/" TargetMode="External" Id="rId17"/><Relationship Type="http://schemas.openxmlformats.org/officeDocument/2006/relationships/hyperlink" Target="https://huggingface.co/gaia-benchmark" TargetMode="External" Id="rId18"/><Relationship Type="http://schemas.openxmlformats.org/officeDocument/2006/relationships/hyperlink" Target="https://github.com/THUDM/AgentBench" TargetMode="External" Id="rId19"/><Relationship Type="http://schemas.openxmlformats.org/officeDocument/2006/relationships/hyperlink" Target="https://webarena.dev/" TargetMode="External" Id="rId20"/><Relationship Type="http://schemas.openxmlformats.org/officeDocument/2006/relationships/hyperlink" Target="https://huggingface.co/datasets/getomni-ai/ocr-benchmark" TargetMode="External" Id="rId21"/><Relationship Type="http://schemas.openxmlformats.org/officeDocument/2006/relationships/hyperlink" Target="https://arxiv.org/abs/2109.07958" TargetMode="External" Id="rId22"/><Relationship Type="http://schemas.openxmlformats.org/officeDocument/2006/relationships/hyperlink" Target="https://github.com/centerforaisafety/HarmBench" TargetMode="External" Id="rId23"/><Relationship Type="http://schemas.openxmlformats.org/officeDocument/2006/relationships/hyperlink" Target="https://github.com/thu-coai/SafetyBench" TargetMode="External" Id="rId24"/><Relationship Type="http://schemas.openxmlformats.org/officeDocument/2006/relationships/hyperlink" Target="https://github.com/nyu-mll/bbq" TargetMode="External" Id="rId25"/><Relationship Type="http://schemas.openxmlformats.org/officeDocument/2006/relationships/hyperlink" Target="https://arxiv.org/abs/2112.00861" TargetMode="External" Id="rId26"/><Relationship Type="http://schemas.openxmlformats.org/officeDocument/2006/relationships/hyperlink" Target="https://crfm.stanford.edu/helm/" TargetMode="External" Id="rId27"/><Relationship Type="http://schemas.openxmlformats.org/officeDocument/2006/relationships/hyperlink" Target="https://livebench.ai/" TargetMode="External" Id="rId28"/><Relationship Type="http://schemas.openxmlformats.org/officeDocument/2006/relationships/hyperlink" Target="https://github.com/google/BIG-bench" TargetMode="External" Id="rId29"/><Relationship Type="http://schemas.openxmlformats.org/officeDocument/2006/relationships/hyperlink" Target="https://cevalbenchmark.com/" TargetMode="External" Id="rId3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tabSelected="1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100" customWidth="1" min="2" max="2"/>
  </cols>
  <sheetData>
    <row r="2" ht="26.25" customHeight="1">
      <c r="B2" s="6" t="inlineStr">
        <is>
          <t>Re-scoring del BQAI</t>
        </is>
      </c>
    </row>
    <row r="3" ht="16.5" customHeight="1">
      <c r="B3" s="7" t="inlineStr">
        <is>
          <t>Instrucciones rápidas — debe tomar ~2 a 2.5 horas</t>
        </is>
      </c>
    </row>
    <row r="5" ht="16.5" customHeight="1">
      <c r="B5" s="8" t="inlineStr">
        <is>
          <t>Qué hay que hacer</t>
        </is>
      </c>
    </row>
    <row r="6" ht="21.75" customHeight="1">
      <c r="B6" s="9" t="inlineStr">
        <is>
          <t>Los reviewers del paper pidieron validar el BQAI con un análisis formal de inter-rater reliability. Necesito que califiques 30 benchmarks en 7 dimensiones de calidad, de forma independiente.</t>
        </is>
      </c>
    </row>
    <row r="7" ht="9.75" customHeight="1">
      <c r="B7" s="9" t="n"/>
    </row>
    <row r="8" ht="21.75" customHeight="1">
      <c r="B8" s="9" t="inlineStr">
        <is>
          <t>Pasos:</t>
        </is>
      </c>
    </row>
    <row r="9" ht="21.75" customHeight="1">
      <c r="B9" s="9" t="inlineStr">
        <is>
          <t>1. Lee la hoja 'Rúbrica' una vez (5 min). Está condensada en una sola tabla.</t>
        </is>
      </c>
    </row>
    <row r="10" ht="21.75" customHeight="1">
      <c r="B10" s="9" t="inlineStr">
        <is>
          <t>2. Ve a la hoja 'Scoring'. Cada fila es un benchmark; las columnas Q1–Q7 son las dimensiones.</t>
        </is>
      </c>
    </row>
    <row r="11" ht="21.75" customHeight="1">
      <c r="B11" s="9" t="inlineStr">
        <is>
          <t>3. Llena cada celda con un valor entre 0.00 y 1.00 (los rangos por tier están justo arriba de la tabla).</t>
        </is>
      </c>
    </row>
    <row r="12" ht="21.75" customHeight="1">
      <c r="B12" s="9" t="inlineStr">
        <is>
          <t>4. La columna BQAI se calcula sola.</t>
        </is>
      </c>
    </row>
    <row r="13" ht="21.75" customHeight="1">
      <c r="B13" s="9" t="inlineStr">
        <is>
          <t>5. Guarda como BQAI_scoring_&lt;TU-APELLIDO&gt;.xlsx y mándamelo de regreso.</t>
        </is>
      </c>
    </row>
    <row r="15" ht="16.5" customHeight="1">
      <c r="B15" s="8" t="inlineStr">
        <is>
          <t>Reglas importantes</t>
        </is>
      </c>
    </row>
    <row r="16" ht="25.5" customHeight="1">
      <c r="B16" s="10" t="inlineStr">
        <is>
          <t>• NO comentes tus puntajes con el otro evaluador hasta que ambos hayan enviado el suyo. Es un protocolo blindado.</t>
        </is>
      </c>
    </row>
    <row r="17" ht="25.5" customHeight="1">
      <c r="B17" s="10" t="inlineStr">
        <is>
          <t>• Califica lo que está documentado públicamente. Ausencia de evidencia (e.g., no reportan IAA) baja el score; no asumas rigor.</t>
        </is>
      </c>
    </row>
    <row r="18" ht="25.5" customHeight="1">
      <c r="B18" s="10" t="inlineStr">
        <is>
          <t>• Si genuinamente no puedes evaluar una dimensión, deja la celda vacía y escribe 'NA' en Notas. Mejor faltante que adivinado.</t>
        </is>
      </c>
    </row>
    <row r="19" ht="25.5" customHeight="1">
      <c r="B19" s="10" t="inlineStr">
        <is>
          <t>• Usa valores intermedios cuando aplique (e.g., 0.75 si la evidencia está entre Alto y Excelente).</t>
        </is>
      </c>
    </row>
    <row r="20" ht="25.5" customHeight="1">
      <c r="B20" s="10" t="inlineStr">
        <is>
          <t>• Time-box: máximo ~5 min por benchmark. Tu juicio de primera pasada es lo que necesitamos.</t>
        </is>
      </c>
    </row>
    <row r="21" ht="25.5" customHeight="1">
      <c r="B21" s="10" t="inlineStr">
        <is>
          <t>• El desacuerdo entre evaluadores es esperado y útil — no hay 'respuestas correctas'.</t>
        </is>
      </c>
    </row>
    <row r="23" ht="16.5" customHeight="1">
      <c r="B23" s="8" t="inlineStr">
        <is>
          <t>Por qué estos 30 benchmarks</t>
        </is>
      </c>
    </row>
    <row r="24" ht="21.75" customHeight="1">
      <c r="B24" s="10" t="inlineStr">
        <is>
          <t>La selección cubre los 63 benchmarks del corpus completo bajo cinco criterios explícitos:</t>
        </is>
      </c>
    </row>
    <row r="25" ht="21.75" customHeight="1">
      <c r="B25" s="10" t="inlineStr">
        <is>
          <t xml:space="preserve">  C1. Cobertura dimensional balanceada: ≥4 benchmarks por dimensión D1–D6.</t>
        </is>
      </c>
    </row>
    <row r="26" ht="21.75" customHeight="1">
      <c r="B26" s="10" t="inlineStr">
        <is>
          <t xml:space="preserve">  C2. Adopción documentada: reportados en ≥2 reportes técnicos frontier o leaderboards establecidos.</t>
        </is>
      </c>
    </row>
    <row r="27" ht="21.75" customHeight="1">
      <c r="B27" s="10" t="inlineStr">
        <is>
          <t xml:space="preserve">  C3. Diversidad temporal: 2016–2025, permite análisis longitudinal.</t>
        </is>
      </c>
    </row>
    <row r="28" ht="21.75" customHeight="1">
      <c r="B28" s="10" t="inlineStr">
        <is>
          <t xml:space="preserve">  C4. Diversidad de track: mezcla de Core (gold standards) y Emerging (frontier probes).</t>
        </is>
      </c>
    </row>
    <row r="29" ht="21.75" customHeight="1">
      <c r="B29" s="10" t="inlineStr">
        <is>
          <t xml:space="preserve">  C5. Variación esperada en BQAI: incluye candidatos para Tier A, B y C deliberadamente.</t>
        </is>
      </c>
    </row>
    <row r="31" ht="16.5" customHeight="1">
      <c r="B31" s="8" t="inlineStr">
        <is>
          <t>Entrega</t>
        </is>
      </c>
    </row>
    <row r="32" ht="21.75" customHeight="1">
      <c r="B32" s="10" t="inlineStr">
        <is>
          <t>1. Pon tu nombre y la fecha en la parte de arriba de la hoja 'Scoring'.</t>
        </is>
      </c>
    </row>
    <row r="33" ht="21.75" customHeight="1">
      <c r="B33" s="10" t="inlineStr">
        <is>
          <t>2. Guarda como: BQAI_scoring_&lt;TU-APELLIDO&gt;.xlsx</t>
        </is>
      </c>
    </row>
    <row r="34" ht="21.75" customHeight="1">
      <c r="B34" s="10" t="inlineStr">
        <is>
          <t>3. Mándamelo por correo. NO se lo compartas al otro evaluador.</t>
        </is>
      </c>
    </row>
    <row r="35" ht="21.75" customHeight="1">
      <c r="B35" s="10" t="inlineStr">
        <is>
          <t>4. Idealmente esta semana. Cualquier duda, escríbeme directo.</t>
        </is>
      </c>
    </row>
    <row r="38">
      <c r="B38" s="11" t="inlineStr">
        <is>
          <t>Gracias — Rubén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20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5" customWidth="1" min="1" max="1"/>
    <col width="28" customWidth="1" min="2" max="2"/>
    <col width="9" customWidth="1" min="3" max="3"/>
    <col width="38" customWidth="1" min="4" max="4"/>
    <col width="26" customWidth="1" min="5" max="7"/>
    <col width="28" customWidth="1" min="8" max="8"/>
  </cols>
  <sheetData>
    <row r="2" ht="20.25" customHeight="1">
      <c r="B2" s="12" t="inlineStr">
        <is>
          <t>Rúbrica BQAI — referencia condensada</t>
        </is>
      </c>
    </row>
    <row r="3">
      <c r="B3" s="13" t="inlineStr">
        <is>
          <t>Una sola tabla con todo. Usa los rangos como anclas; valores intermedios permitidos.</t>
        </is>
      </c>
    </row>
    <row r="5" ht="30" customHeight="1">
      <c r="A5" s="14" t="inlineStr">
        <is>
          <t>ID</t>
        </is>
      </c>
      <c r="B5" s="14" t="inlineStr">
        <is>
          <t>Dimensión</t>
        </is>
      </c>
      <c r="C5" s="14" t="inlineStr">
        <is>
          <t>Peso</t>
        </is>
      </c>
      <c r="D5" s="14" t="inlineStr">
        <is>
          <t>Qué revisar</t>
        </is>
      </c>
      <c r="E5" s="14" t="inlineStr">
        <is>
          <t>Bajo (0.00–0.30)</t>
        </is>
      </c>
      <c r="F5" s="14" t="inlineStr">
        <is>
          <t>Moderado (0.31–0.60)</t>
        </is>
      </c>
      <c r="G5" s="14" t="inlineStr">
        <is>
          <t>Alto (0.61–0.80)</t>
        </is>
      </c>
      <c r="H5" s="14" t="inlineStr">
        <is>
          <t>Excelente (0.81–1.00)</t>
        </is>
      </c>
    </row>
    <row r="6" ht="79.5" customHeight="1">
      <c r="A6" s="15" t="inlineStr">
        <is>
          <t>Q1</t>
        </is>
      </c>
      <c r="B6" s="16" t="inlineStr">
        <is>
          <t>Calidad de anotación</t>
        </is>
      </c>
      <c r="C6" s="17" t="inlineStr">
        <is>
          <t>0.213</t>
        </is>
      </c>
      <c r="D6" s="16" t="inlineStr">
        <is>
          <t>¿Cuántos anotadores? ¿Qué expertise? ¿Reportan IAA? ¿Hay control de calidad?</t>
        </is>
      </c>
      <c r="E6" s="16" t="inlineStr">
        <is>
          <t>Sin documentación; sin control de calidad.</t>
        </is>
      </c>
      <c r="F6" s="16" t="inlineStr">
        <is>
          <t>Un anotador o doc mínima; sin IAA formal.</t>
        </is>
      </c>
      <c r="G6" s="16" t="inlineStr">
        <is>
          <t>Múltiples expertos, IAA ≥ 0.70 reportado.</t>
        </is>
      </c>
      <c r="H6" s="16" t="inlineStr">
        <is>
          <t>Pipeline multi-etapa, IAA ≥ 0.80, validación sistemática.</t>
        </is>
      </c>
    </row>
    <row r="7" ht="79.5" customHeight="1">
      <c r="A7" s="15" t="inlineStr">
        <is>
          <t>Q2</t>
        </is>
      </c>
      <c r="B7" s="16" t="inlineStr">
        <is>
          <t>Claridad y formato</t>
        </is>
      </c>
      <c r="C7" s="17" t="inlineStr">
        <is>
          <t>0.073</t>
        </is>
      </c>
      <c r="D7" s="16" t="inlineStr">
        <is>
          <t>¿Tareas bien definidas? ¿Plantillas de prompts? ¿Especificaciones I/O claras?</t>
        </is>
      </c>
      <c r="E7" s="16" t="inlineStr">
        <is>
          <t>Definiciones ambiguas; sin plantillas; formato inconsistente.</t>
        </is>
      </c>
      <c r="F7" s="16" t="inlineStr">
        <is>
          <t>Tareas definidas pero no estandarizadas.</t>
        </is>
      </c>
      <c r="G7" s="16" t="inlineStr">
        <is>
          <t>I/O claro, mínima ambigüedad, prompts documentados.</t>
        </is>
      </c>
      <c r="H7" s="16" t="inlineStr">
        <is>
          <t>Plantillas totalmente especificadas; docs comprehensivos.</t>
        </is>
      </c>
    </row>
    <row r="8" ht="79.5" customHeight="1">
      <c r="A8" s="15" t="inlineStr">
        <is>
          <t>Q3</t>
        </is>
      </c>
      <c r="B8" s="16" t="inlineStr">
        <is>
          <t>Estandarización y versionado</t>
        </is>
      </c>
      <c r="C8" s="17" t="inlineStr">
        <is>
          <t>0.117</t>
        </is>
      </c>
      <c r="D8" s="16" t="inlineStr">
        <is>
          <t>¿Test set congelado? ¿Splits documentados? ¿Versionado? ¿Controles anti-contaminación?</t>
        </is>
      </c>
      <c r="E8" s="16" t="inlineStr">
        <is>
          <t>Sin versionado; splits inconsistentes entre estudios.</t>
        </is>
      </c>
      <c r="F8" s="16" t="inlineStr">
        <is>
          <t>Splits ad hoc; versionado informal.</t>
        </is>
      </c>
      <c r="G8" s="16" t="inlineStr">
        <is>
          <t>Test set congelado, particiones documentadas.</t>
        </is>
      </c>
      <c r="H8" s="16" t="inlineStr">
        <is>
          <t>Versionado semántico, leaderboard público, anti-contaminación.</t>
        </is>
      </c>
    </row>
    <row r="9" ht="79.5" customHeight="1">
      <c r="A9" s="15" t="inlineStr">
        <is>
          <t>Q4</t>
        </is>
      </c>
      <c r="B9" s="16" t="inlineStr">
        <is>
          <t>Reproducibilidad</t>
        </is>
      </c>
      <c r="C9" s="18" t="inlineStr">
        <is>
          <t>0.349</t>
        </is>
      </c>
      <c r="D9" s="16" t="inlineStr">
        <is>
          <t>¿Scripts oficiales de evaluación? ¿Métricas deterministas? ¿Hiperparámetros documentados?</t>
        </is>
      </c>
      <c r="E9" s="16" t="inlineStr">
        <is>
          <t>Sin código; métricas indefinidas; no reproducible.</t>
        </is>
      </c>
      <c r="F9" s="16" t="inlineStr">
        <is>
          <t>Scripts parciales; faltan hiperparámetros.</t>
        </is>
      </c>
      <c r="G9" s="16" t="inlineStr">
        <is>
          <t>Scripts oficiales; métricas documentadas.</t>
        </is>
      </c>
      <c r="H9" s="16" t="inlineStr">
        <is>
          <t>Pipeline determinista, varianza ±0.5%, containerizado.</t>
        </is>
      </c>
    </row>
    <row r="10" ht="79.5" customHeight="1">
      <c r="A10" s="15" t="inlineStr">
        <is>
          <t>Q5</t>
        </is>
      </c>
      <c r="B10" s="16" t="inlineStr">
        <is>
          <t>Robustez y resistencia a contaminación</t>
        </is>
      </c>
      <c r="C10" s="17" t="inlineStr">
        <is>
          <t>0.167</t>
        </is>
      </c>
      <c r="D10" s="16" t="inlineStr">
        <is>
          <t>¿Estudios de sensibilidad? ¿Análisis de contaminación? ¿Updates rolling? ¿Filtrado adversarial? ¿SOTA vs techo?</t>
        </is>
      </c>
      <c r="E10" s="16" t="inlineStr">
        <is>
          <t>Sensibilidad severa O contaminación documentada O saturado (SOTA &gt;95%).</t>
        </is>
      </c>
      <c r="F10" s="16" t="inlineStr">
        <is>
          <t>Cierta sensibilidad; contaminación reconocida pero no mitigada; SOTA 90–95%.</t>
        </is>
      </c>
      <c r="G10" s="16" t="inlineStr">
        <is>
          <t>Filtrado adversarial o validación experta; SOTA &lt;92%.</t>
        </is>
      </c>
      <c r="H10" s="16" t="inlineStr">
        <is>
          <t>Updates rolling O test set no publicado; SOTA &lt;90%; herramientas de detección.</t>
        </is>
      </c>
    </row>
    <row r="11" ht="79.5" customHeight="1">
      <c r="A11" s="15" t="inlineStr">
        <is>
          <t>Q6</t>
        </is>
      </c>
      <c r="B11" s="16" t="inlineStr">
        <is>
          <t>Cobertura cognitiva</t>
        </is>
      </c>
      <c r="C11" s="17" t="inlineStr">
        <is>
          <t>0.033</t>
        </is>
      </c>
      <c r="D11" s="16" t="inlineStr">
        <is>
          <t>¿Cuántas habilidades cognitivas? ¿Diversidad de subtareas? ¿Multi-dominio?</t>
        </is>
      </c>
      <c r="E11" s="16" t="inlineStr">
        <is>
          <t>Una sola tarea estrecha (e.g., solo aritmética).</t>
        </is>
      </c>
      <c r="F11" s="16" t="inlineStr">
        <is>
          <t>2–3 subtareas relacionadas en una sola área.</t>
        </is>
      </c>
      <c r="G11" s="16" t="inlineStr">
        <is>
          <t>≥3 habilidades distintas O cobertura amplia de dominios.</t>
        </is>
      </c>
      <c r="H11" s="16" t="inlineStr">
        <is>
          <t>≥5 dimensiones o 10+ tareas diversas; diseño multi-skill integrativo.</t>
        </is>
      </c>
    </row>
    <row r="12" ht="79.5" customHeight="1">
      <c r="A12" s="15" t="inlineStr">
        <is>
          <t>Q7</t>
        </is>
      </c>
      <c r="B12" s="16" t="inlineStr">
        <is>
          <t>Mitigación de sesgo y validez cross-cultural</t>
        </is>
      </c>
      <c r="C12" s="17" t="inlineStr">
        <is>
          <t>0.048</t>
        </is>
      </c>
      <c r="D12" s="16" t="inlineStr">
        <is>
          <t>¿Cobertura multilingüe? ¿Representación demográfica? ¿Auditorías de sesgo? ¿Validación cross-cultural?</t>
        </is>
      </c>
      <c r="E12" s="16" t="inlineStr">
        <is>
          <t>Solo inglés; sin análisis de sesgo; supuestos WEIRD.</t>
        </is>
      </c>
      <c r="F12" s="16" t="inlineStr">
        <is>
          <t>Multilingüe O alguna mención de sesgo, pero sin auditoría sistemática.</t>
        </is>
      </c>
      <c r="G12" s="16" t="inlineStr">
        <is>
          <t>Análisis de sesgo documentado; cobertura multilingüe con atención a fairness.</t>
        </is>
      </c>
      <c r="H12" s="16" t="inlineStr">
        <is>
          <t>Validación cross-cultural, auditorías demográficas, protocolos de mitigación.</t>
        </is>
      </c>
    </row>
    <row r="15" ht="15.75" customHeight="1">
      <c r="B15" s="19" t="inlineStr">
        <is>
          <t>Tips rápidos</t>
        </is>
      </c>
    </row>
    <row r="16" ht="21.75" customHeight="1">
      <c r="B16" s="10" t="inlineStr">
        <is>
          <t>• Q4 (reproducibilidad) tiene el peso más alto (0.349). Es la dimensión más decisiva.</t>
        </is>
      </c>
    </row>
    <row r="17" ht="21.75" customHeight="1">
      <c r="B17" s="10" t="inlineStr">
        <is>
          <t>• Si un benchmark está saturado (SOTA &gt;95%) o claramente contaminado, Q5 ≤ 0.30.</t>
        </is>
      </c>
    </row>
    <row r="18" ht="21.75" customHeight="1">
      <c r="B18" s="10" t="inlineStr">
        <is>
          <t>• Si solo es inglés y sin auditoría de sesgo, Q7 ≤ 0.40.</t>
        </is>
      </c>
    </row>
    <row r="19" ht="21.75" customHeight="1">
      <c r="B19" s="10" t="inlineStr">
        <is>
          <t>• Si no encuentras IAA reportado, Q1 ≤ 0.60 (no asumas).</t>
        </is>
      </c>
    </row>
    <row r="20" ht="21.75" customHeight="1">
      <c r="B20" s="10" t="inlineStr">
        <is>
          <t>• Si tiene leaderboard activo + scripts oficiales + métricas claras, Q4 suele ser ≥ 0.80.</t>
        </is>
      </c>
    </row>
  </sheetData>
  <mergeCells count="5">
    <mergeCell ref="B17:H17"/>
    <mergeCell ref="B18:H18"/>
    <mergeCell ref="B16:H16"/>
    <mergeCell ref="B19:H19"/>
    <mergeCell ref="B20:H20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zoomScaleNormal="100" workbookViewId="0">
      <pane xSplit="5" ySplit="6" topLeftCell="F28" activePane="bottomRight" state="frozen"/>
      <selection pane="topRight" activeCell="F1" sqref="F1"/>
      <selection pane="bottomLeft" activeCell="A7" sqref="A7"/>
      <selection pane="bottomRight" activeCell="N52" sqref="N52"/>
    </sheetView>
  </sheetViews>
  <sheetFormatPr baseColWidth="8" defaultColWidth="8.7109375" defaultRowHeight="15"/>
  <cols>
    <col width="4" customWidth="1" min="1" max="1"/>
    <col width="22" customWidth="1" min="2" max="2"/>
    <col width="8" customWidth="1" min="3" max="3"/>
    <col width="52" customWidth="1" min="4" max="4"/>
    <col width="28" customWidth="1" min="5" max="5"/>
    <col width="8" customWidth="1" min="6" max="12"/>
    <col width="10" customWidth="1" min="13" max="13"/>
    <col width="38" customWidth="1" min="14" max="14"/>
  </cols>
  <sheetData>
    <row r="1" ht="20.25" customHeight="1">
      <c r="B1" s="12" t="inlineStr">
        <is>
          <t>Hoja de scoring BQAI (30 benchmarks)</t>
        </is>
      </c>
    </row>
    <row r="2" ht="15" customHeight="1">
      <c r="B2" s="20" t="inlineStr">
        <is>
          <t>Tu nombre:</t>
        </is>
      </c>
      <c r="C2" s="4" t="inlineStr">
        <is>
          <t>Rubén Gómez Olvera</t>
        </is>
      </c>
      <c r="D2" s="30" t="n"/>
      <c r="E2" s="31" t="n"/>
      <c r="G2" s="3" t="inlineStr">
        <is>
          <t>Califica cada Q en [0.00, 1.00]. BQAI auto-calculado. Notas opcionales.</t>
        </is>
      </c>
      <c r="H2" s="32" t="n"/>
      <c r="I2" s="32" t="n"/>
      <c r="J2" s="32" t="n"/>
      <c r="K2" s="32" t="n"/>
      <c r="L2" s="32" t="n"/>
      <c r="M2" s="32" t="n"/>
      <c r="N2" s="32" t="n"/>
    </row>
    <row r="3">
      <c r="B3" s="20" t="inlineStr">
        <is>
          <t>Fecha:</t>
        </is>
      </c>
      <c r="C3" s="27" t="inlineStr">
        <is>
          <t>2026-05-13</t>
        </is>
      </c>
      <c r="D3" s="30" t="n"/>
      <c r="E3" s="31" t="n"/>
      <c r="G3" s="33" t="n"/>
    </row>
    <row r="5" ht="18" customHeight="1">
      <c r="F5" s="2" t="inlineStr">
        <is>
          <t>Rangos: Bajo 0.00–0.30  |  Moderado 0.31–0.60  |  Alto 0.61–0.80  |  Excelente 0.81–1.00</t>
        </is>
      </c>
      <c r="G5" s="30" t="n"/>
      <c r="H5" s="30" t="n"/>
      <c r="I5" s="30" t="n"/>
      <c r="J5" s="30" t="n"/>
      <c r="K5" s="30" t="n"/>
      <c r="L5" s="31" t="n"/>
    </row>
    <row r="6" ht="31.5" customHeight="1">
      <c r="A6" s="14" t="inlineStr">
        <is>
          <t>#</t>
        </is>
      </c>
      <c r="B6" s="14" t="inlineStr">
        <is>
          <t>Benchmark</t>
        </is>
      </c>
      <c r="C6" s="14" t="inlineStr">
        <is>
          <t>Dim.</t>
        </is>
      </c>
      <c r="D6" s="14" t="inlineStr">
        <is>
          <t>Descripción</t>
        </is>
      </c>
      <c r="E6" s="14" t="inlineStr">
        <is>
          <t>Referencia</t>
        </is>
      </c>
      <c r="F6" s="14" t="inlineStr">
        <is>
          <t>Q1
(0.213)</t>
        </is>
      </c>
      <c r="G6" s="14" t="inlineStr">
        <is>
          <t>Q2
(0.073)</t>
        </is>
      </c>
      <c r="H6" s="14" t="inlineStr">
        <is>
          <t>Q3
(0.117)</t>
        </is>
      </c>
      <c r="I6" s="14" t="inlineStr">
        <is>
          <t>Q4
(0.349)</t>
        </is>
      </c>
      <c r="J6" s="14" t="inlineStr">
        <is>
          <t>Q5
(0.167)</t>
        </is>
      </c>
      <c r="K6" s="14" t="inlineStr">
        <is>
          <t>Q6
(0.033)</t>
        </is>
      </c>
      <c r="L6" s="14" t="inlineStr">
        <is>
          <t>Q7
(0.048)</t>
        </is>
      </c>
      <c r="M6" s="14" t="inlineStr">
        <is>
          <t>BQAI
(auto)</t>
        </is>
      </c>
      <c r="N6" s="14" t="inlineStr">
        <is>
          <t>Notas (opcional)</t>
        </is>
      </c>
    </row>
    <row r="7" ht="19.5" customHeight="1">
      <c r="A7" s="1" t="inlineStr">
        <is>
          <t>D1 — Reasoning and Problem-Solving (6 benchmarks)</t>
        </is>
      </c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1" t="n"/>
    </row>
    <row r="8" ht="48" customHeight="1">
      <c r="A8" s="21" t="n">
        <v>1</v>
      </c>
      <c r="B8" s="22" t="inlineStr">
        <is>
          <t>GPQA Diamond</t>
        </is>
      </c>
      <c r="C8" s="21" t="inlineStr">
        <is>
          <t>D1/D2</t>
        </is>
      </c>
      <c r="D8" s="16" t="inlineStr">
        <is>
          <t>Preguntas nivel posgrado (física, química, biología). Validadas por PhDs, diseñadas para ser Google-proof.</t>
        </is>
      </c>
      <c r="E8" s="23" t="inlineStr">
        <is>
          <t>https://arxiv.org/abs/2311.12022</t>
        </is>
      </c>
      <c r="F8" s="24" t="n">
        <v>0.75</v>
      </c>
      <c r="G8" s="24" t="n">
        <v>0.88</v>
      </c>
      <c r="H8" s="24" t="n">
        <v>0.76</v>
      </c>
      <c r="I8" s="24" t="n">
        <v>0.84</v>
      </c>
      <c r="J8" s="24" t="n">
        <v>0.35</v>
      </c>
      <c r="K8" s="24" t="n">
        <v>0.62</v>
      </c>
      <c r="L8" s="24" t="n">
        <v>0.27</v>
      </c>
      <c r="M8" s="25">
        <f>IFERROR(F8*0.213+G8*0.073+H8*0.117+I8*0.349+J8*0.167+K8*0.033+L8*0.048, "")</f>
        <v/>
      </c>
      <c r="N8" s="26" t="n"/>
    </row>
    <row r="9" ht="48" customHeight="1">
      <c r="A9" s="21" t="n">
        <v>2</v>
      </c>
      <c r="B9" s="22" t="inlineStr">
        <is>
          <t>GSM8K</t>
        </is>
      </c>
      <c r="C9" s="21" t="inlineStr">
        <is>
          <t>D1</t>
        </is>
      </c>
      <c r="D9" s="16" t="inlineStr">
        <is>
          <t>8.5k problemas de matemáticas a nivel primaria que requieren razonamiento aritmético de 2-8 pasos.</t>
        </is>
      </c>
      <c r="E9" s="23" t="inlineStr">
        <is>
          <t>https://github.com/openai/grade-school-math</t>
        </is>
      </c>
      <c r="F9" s="24" t="n">
        <v>0.53</v>
      </c>
      <c r="G9" s="24" t="n">
        <v>0.91</v>
      </c>
      <c r="H9" s="24" t="n">
        <v>0.55</v>
      </c>
      <c r="I9" s="24" t="n">
        <v>0.85</v>
      </c>
      <c r="J9" s="24" t="n">
        <v>0.17</v>
      </c>
      <c r="K9" s="24" t="n">
        <v>0.35</v>
      </c>
      <c r="L9" s="24" t="n">
        <v>0.23</v>
      </c>
      <c r="M9" s="25">
        <f>IFERROR(F9*0.213+G9*0.073+H9*0.117+I9*0.349+J9*0.167+K9*0.033+L9*0.048, "")</f>
        <v/>
      </c>
      <c r="N9" s="26" t="inlineStr">
        <is>
          <t>Q3, parece que el repo está abandonado. Benchmark saturado.</t>
        </is>
      </c>
    </row>
    <row r="10" ht="48" customHeight="1">
      <c r="A10" s="21" t="n">
        <v>3</v>
      </c>
      <c r="B10" s="22" t="inlineStr">
        <is>
          <t>AIME 2025</t>
        </is>
      </c>
      <c r="C10" s="21" t="inlineStr">
        <is>
          <t>D1</t>
        </is>
      </c>
      <c r="D10" s="16" t="inlineStr">
        <is>
          <t>American Invitational Mathematics Examination 2025. Problemas no publicados de competencia, anti-contaminación por diseño.</t>
        </is>
      </c>
      <c r="E10" s="23" t="inlineStr">
        <is>
          <t>https://maa.org/math-competitions/aime</t>
        </is>
      </c>
      <c r="F10" s="24" t="n">
        <v>0.55</v>
      </c>
      <c r="G10" s="24" t="n">
        <v>0.95</v>
      </c>
      <c r="H10" s="24" t="n">
        <v>0.68</v>
      </c>
      <c r="I10" s="24" t="n">
        <v>0.72</v>
      </c>
      <c r="J10" s="24" t="n">
        <v>0.45</v>
      </c>
      <c r="K10" s="24" t="n">
        <v>0.25</v>
      </c>
      <c r="L10" s="24" t="n">
        <v>0.2</v>
      </c>
      <c r="M10" s="25">
        <f>IFERROR(F10*0.213+G10*0.073+H10*0.117+I10*0.349+J10*0.167+K10*0.033+L10*0.048, "")</f>
        <v/>
      </c>
      <c r="N10" s="26" t="n"/>
    </row>
    <row r="11" ht="48" customHeight="1">
      <c r="A11" s="21" t="n">
        <v>4</v>
      </c>
      <c r="B11" s="22" t="inlineStr">
        <is>
          <t>FrontierMath</t>
        </is>
      </c>
      <c r="C11" s="21" t="inlineStr">
        <is>
          <t>D1</t>
        </is>
      </c>
      <c r="D11" s="16" t="inlineStr">
        <is>
          <t>Matemáticas a nivel de investigación. 300+ problemas no publicados de expertos en 4 niveles de dificultad.</t>
        </is>
      </c>
      <c r="E11" s="23" t="inlineStr">
        <is>
          <t>https://epoch.ai/frontiermath</t>
        </is>
      </c>
      <c r="F11" s="24" t="n">
        <v>0.45</v>
      </c>
      <c r="G11" s="24" t="n">
        <v>0.6</v>
      </c>
      <c r="H11" s="24" t="n">
        <v>0.65</v>
      </c>
      <c r="I11" s="24" t="n">
        <v>0.48</v>
      </c>
      <c r="J11" s="24" t="n">
        <v>0.9</v>
      </c>
      <c r="K11" s="24" t="n">
        <v>0.55</v>
      </c>
      <c r="L11" s="24" t="n">
        <v>0.22</v>
      </c>
      <c r="M11" s="25">
        <f>IFERROR(F11*0.213+G11*0.073+H11*0.117+I11*0.349+J11*0.167+K11*0.033+L11*0.048, "")</f>
        <v/>
      </c>
      <c r="N11" s="26" t="inlineStr">
        <is>
          <t>El sitio web del benchmark publicó recientemente que al rededor de 1/3 de los problemas tienen errores fatales.</t>
        </is>
      </c>
    </row>
    <row r="12" ht="48" customHeight="1">
      <c r="A12" s="21" t="n">
        <v>5</v>
      </c>
      <c r="B12" s="22" t="inlineStr">
        <is>
          <t>CLadder</t>
        </is>
      </c>
      <c r="C12" s="21" t="inlineStr">
        <is>
          <t>D1</t>
        </is>
      </c>
      <c r="D12" s="16" t="inlineStr">
        <is>
          <t>Razonamiento causal a través de la jerarquía de Pearl (asociación, intervención, contrafactuales). Único de causal reasoning.</t>
        </is>
      </c>
      <c r="E12" s="23" t="inlineStr">
        <is>
          <t>https://huggingface.co/datasets/causalnlp/CLadder</t>
        </is>
      </c>
      <c r="F12" s="24" t="n">
        <v>0.65</v>
      </c>
      <c r="G12" s="24" t="n">
        <v>0.84</v>
      </c>
      <c r="H12" s="24" t="n">
        <v>0.7</v>
      </c>
      <c r="I12" s="24" t="n">
        <v>0.88</v>
      </c>
      <c r="J12" s="24" t="n">
        <v>0.6</v>
      </c>
      <c r="K12" s="24" t="n">
        <v>0.6</v>
      </c>
      <c r="L12" s="24" t="n">
        <v>0.25</v>
      </c>
      <c r="M12" s="25">
        <f>IFERROR(F12*0.213+G12*0.073+H12*0.117+I12*0.349+J12*0.167+K12*0.033+L12*0.048, "")</f>
        <v/>
      </c>
      <c r="N12" s="26" t="inlineStr">
        <is>
          <t>No hay leaderboard oficial. Este paper me llamó muchísimo la atención por el oráculo que usan, me lo voy a volar para mi benchmar :b</t>
        </is>
      </c>
    </row>
    <row r="13" ht="48" customHeight="1">
      <c r="A13" s="21" t="n">
        <v>6</v>
      </c>
      <c r="B13" s="22" t="inlineStr">
        <is>
          <t>OlympiadBench</t>
        </is>
      </c>
      <c r="C13" s="21" t="inlineStr">
        <is>
          <t>D1</t>
        </is>
      </c>
      <c r="D13" s="16" t="inlineStr">
        <is>
          <t>8,476 problemas de Olimpiadas (matemáticas y física) IMO/IPhO/regionales. Bilingüe inglés/chino, multimodal.</t>
        </is>
      </c>
      <c r="E13" s="23" t="inlineStr">
        <is>
          <t>https://github.com/OpenBMB/OlympiadBench</t>
        </is>
      </c>
      <c r="F13" s="24" t="n">
        <v>0.6</v>
      </c>
      <c r="G13" s="24" t="n">
        <v>0.85</v>
      </c>
      <c r="H13" s="24" t="n">
        <v>0.77</v>
      </c>
      <c r="I13" s="24" t="n">
        <v>0.8</v>
      </c>
      <c r="J13" s="24" t="n">
        <v>0.72</v>
      </c>
      <c r="K13" s="24" t="n">
        <v>0.7</v>
      </c>
      <c r="L13" s="24" t="n">
        <v>0.53</v>
      </c>
      <c r="M13" s="25">
        <f>IFERROR(F13*0.213+G13*0.073+H13*0.117+I13*0.349+J13*0.167+K13*0.033+L13*0.048, "")</f>
        <v/>
      </c>
      <c r="N13" s="26" t="n"/>
    </row>
    <row r="14" ht="19.5" customHeight="1">
      <c r="A14" s="1" t="inlineStr">
        <is>
          <t>D2 — Knowledge and Comprehension (6 benchmarks)</t>
        </is>
      </c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1" t="n"/>
    </row>
    <row r="15" ht="48" customHeight="1">
      <c r="A15" s="21" t="n">
        <v>7</v>
      </c>
      <c r="B15" s="22" t="inlineStr">
        <is>
          <t>MMLU</t>
        </is>
      </c>
      <c r="C15" s="21" t="inlineStr">
        <is>
          <t>D2</t>
        </is>
      </c>
      <c r="D15" s="16" t="inlineStr">
        <is>
          <t>Massive Multitask Language Understanding. 57 materias, 15,908 preguntas de opción múltiple.</t>
        </is>
      </c>
      <c r="E15" s="23" t="inlineStr">
        <is>
          <t>https://arxiv.org/abs/2009.03300</t>
        </is>
      </c>
      <c r="F15" s="24" t="n">
        <v>0.45</v>
      </c>
      <c r="G15" s="24" t="n">
        <v>0.8</v>
      </c>
      <c r="H15" s="24" t="n">
        <v>0.67</v>
      </c>
      <c r="I15" s="24" t="n">
        <v>0.85</v>
      </c>
      <c r="J15" s="24" t="n">
        <v>0.15</v>
      </c>
      <c r="K15" s="24" t="n">
        <v>0.8</v>
      </c>
      <c r="L15" s="24" t="n">
        <v>0.25</v>
      </c>
      <c r="M15" s="25">
        <f>IFERROR(F15*0.213+G15*0.073+H15*0.117+I15*0.349+J15*0.167+K15*0.033+L15*0.048, "")</f>
        <v/>
      </c>
      <c r="N15" s="26" t="inlineStr">
        <is>
          <t>Este benchmark es básicamente un fósil xD</t>
        </is>
      </c>
    </row>
    <row r="16" ht="48" customHeight="1">
      <c r="A16" s="21" t="n">
        <v>8</v>
      </c>
      <c r="B16" s="22" t="inlineStr">
        <is>
          <t>MMLU-Pro</t>
        </is>
      </c>
      <c r="C16" s="21" t="inlineStr">
        <is>
          <t>D2</t>
        </is>
      </c>
      <c r="D16" s="16" t="inlineStr">
        <is>
          <t>Sucesor de MMLU: 12k preguntas, 10 opciones, distractores más difíciles, diseño anti-contaminación.</t>
        </is>
      </c>
      <c r="E16" s="23" t="inlineStr">
        <is>
          <t>https://arxiv.org/abs/2406.01574</t>
        </is>
      </c>
      <c r="F16" s="24" t="n">
        <v>0.6</v>
      </c>
      <c r="G16" s="24" t="n">
        <v>0.88</v>
      </c>
      <c r="H16" s="24" t="n">
        <v>0.82</v>
      </c>
      <c r="I16" s="24" t="n">
        <v>0.92</v>
      </c>
      <c r="J16" s="24" t="n">
        <v>0.4</v>
      </c>
      <c r="K16" s="24" t="n">
        <v>0.85</v>
      </c>
      <c r="L16" s="24" t="n">
        <v>0.3</v>
      </c>
      <c r="M16" s="25">
        <f>IFERROR(F16*0.213+G16*0.073+H16*0.117+I16*0.349+J16*0.167+K16*0.033+L16*0.048, "")</f>
        <v/>
      </c>
      <c r="N16" s="26" t="n"/>
    </row>
    <row r="17" ht="48" customHeight="1">
      <c r="A17" s="21" t="n">
        <v>9</v>
      </c>
      <c r="B17" s="22" t="inlineStr">
        <is>
          <t>HLE</t>
        </is>
      </c>
      <c r="C17" s="21" t="inlineStr">
        <is>
          <t>D2</t>
        </is>
      </c>
      <c r="D17" s="16" t="inlineStr">
        <is>
          <t>Humanity's Last Exam. 2,500+ preguntas interdisciplinarias revisadas por expertos. Diseñado para no saturarse.</t>
        </is>
      </c>
      <c r="E17" s="23" t="inlineStr">
        <is>
          <t>https://lastexam.ai/</t>
        </is>
      </c>
      <c r="F17" s="24" t="n">
        <v>0.82</v>
      </c>
      <c r="G17" s="24" t="n">
        <v>0.9</v>
      </c>
      <c r="H17" s="24" t="n">
        <v>0.85</v>
      </c>
      <c r="I17" s="24" t="n">
        <v>0.85</v>
      </c>
      <c r="J17" s="24" t="n">
        <v>0.95</v>
      </c>
      <c r="K17" s="24" t="n">
        <v>0.85</v>
      </c>
      <c r="L17" s="24" t="n">
        <v>0.45</v>
      </c>
      <c r="M17" s="25">
        <f>IFERROR(F17*0.213+G17*0.073+H17*0.117+I17*0.349+J17*0.167+K17*0.033+L17*0.048, "")</f>
        <v/>
      </c>
      <c r="N17" s="26" t="n"/>
    </row>
    <row r="18" ht="48" customHeight="1">
      <c r="A18" s="21" t="n">
        <v>10</v>
      </c>
      <c r="B18" s="22" t="inlineStr">
        <is>
          <t>MMMU</t>
        </is>
      </c>
      <c r="C18" s="21" t="inlineStr">
        <is>
          <t>D2</t>
        </is>
      </c>
      <c r="D18" s="16" t="inlineStr">
        <is>
          <t>Benchmark multimodal multi-disciplina. 11.5k preguntas en 30 disciplinas con razonamiento experto.</t>
        </is>
      </c>
      <c r="E18" s="23" t="inlineStr">
        <is>
          <t>https://mmmu-benchmark.github.io/</t>
        </is>
      </c>
      <c r="F18" s="24" t="n">
        <v>0.58</v>
      </c>
      <c r="G18" s="24" t="n">
        <v>0.85</v>
      </c>
      <c r="H18" s="24" t="n">
        <v>0.84</v>
      </c>
      <c r="I18" s="24" t="n">
        <v>0.83</v>
      </c>
      <c r="J18" s="24" t="n">
        <v>0.6</v>
      </c>
      <c r="K18" s="24" t="n">
        <v>0.85</v>
      </c>
      <c r="L18" s="24" t="n">
        <v>0.35</v>
      </c>
      <c r="M18" s="25">
        <f>IFERROR(F18*0.213+G18*0.073+H18*0.117+I18*0.349+J18*0.167+K18*0.033+L18*0.048, "")</f>
        <v/>
      </c>
      <c r="N18" s="26" t="n"/>
    </row>
    <row r="19" ht="48" customHeight="1">
      <c r="A19" s="21" t="n">
        <v>11</v>
      </c>
      <c r="B19" s="22" t="inlineStr">
        <is>
          <t>HellaSwag</t>
        </is>
      </c>
      <c r="C19" s="21" t="inlineStr">
        <is>
          <t>D2</t>
        </is>
      </c>
      <c r="D19" s="16" t="inlineStr">
        <is>
          <t>Inferencia de sentido común con 10k contextos y finalizaciones adversariales filtradas.</t>
        </is>
      </c>
      <c r="E19" s="23" t="inlineStr">
        <is>
          <t>https://arxiv.org/abs/1905.07830</t>
        </is>
      </c>
      <c r="F19" s="24" t="n">
        <v>0.58</v>
      </c>
      <c r="G19" s="24" t="n">
        <v>0.82</v>
      </c>
      <c r="H19" s="24" t="n">
        <v>0.72</v>
      </c>
      <c r="I19" s="24" t="n">
        <v>0.8</v>
      </c>
      <c r="J19" s="24" t="n">
        <v>0.12</v>
      </c>
      <c r="K19" s="24" t="n">
        <v>0.35</v>
      </c>
      <c r="L19" s="24" t="n">
        <v>0.22</v>
      </c>
      <c r="M19" s="25">
        <f>IFERROR(F19*0.213+G19*0.073+H19*0.117+I19*0.349+J19*0.167+K19*0.033+L19*0.048, "")</f>
        <v/>
      </c>
      <c r="N19" s="26" t="inlineStr">
        <is>
          <t>Completamente saturado</t>
        </is>
      </c>
    </row>
    <row r="20" ht="48" customHeight="1">
      <c r="A20" s="21" t="n">
        <v>12</v>
      </c>
      <c r="B20" s="22" t="inlineStr">
        <is>
          <t>MathVista</t>
        </is>
      </c>
      <c r="C20" s="21" t="inlineStr">
        <is>
          <t>D2</t>
        </is>
      </c>
      <c r="D20" s="16" t="inlineStr">
        <is>
          <t>Razonamiento matemático multimodal. Diagramas geométricos, gráficos de funciones, escenas visuales.</t>
        </is>
      </c>
      <c r="E20" s="23" t="inlineStr">
        <is>
          <t>https://mathvista.github.io/</t>
        </is>
      </c>
      <c r="F20" s="24" t="n">
        <v>0.58</v>
      </c>
      <c r="G20" s="24" t="n">
        <v>0.82</v>
      </c>
      <c r="H20" s="24" t="n">
        <v>0.82</v>
      </c>
      <c r="I20" s="24" t="n">
        <v>0.8</v>
      </c>
      <c r="J20" s="24" t="n">
        <v>0.55</v>
      </c>
      <c r="K20" s="24" t="n">
        <v>0.68</v>
      </c>
      <c r="L20" s="24" t="n">
        <v>0.33</v>
      </c>
      <c r="M20" s="25">
        <f>IFERROR(F20*0.213+G20*0.073+H20*0.117+I20*0.349+J20*0.167+K20*0.033+L20*0.048, "")</f>
        <v/>
      </c>
      <c r="N20" s="26" t="n"/>
    </row>
    <row r="21" ht="19.5" customHeight="1">
      <c r="A21" s="1" t="inlineStr">
        <is>
          <t>D3 — Generation and Creativity (5 benchmarks)</t>
        </is>
      </c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1" t="n"/>
    </row>
    <row r="22" ht="48" customHeight="1">
      <c r="A22" s="21" t="n">
        <v>13</v>
      </c>
      <c r="B22" s="22" t="inlineStr">
        <is>
          <t>HumanEval</t>
        </is>
      </c>
      <c r="C22" s="21" t="inlineStr">
        <is>
          <t>D3</t>
        </is>
      </c>
      <c r="D22" s="16" t="inlineStr">
        <is>
          <t>164 problemas de programación en Python escritos a mano. Correctitud funcional vía Pass@k.</t>
        </is>
      </c>
      <c r="E22" s="23" t="inlineStr">
        <is>
          <t>https://github.com/openai/human-eval</t>
        </is>
      </c>
      <c r="F22" s="24" t="n">
        <v>0.55</v>
      </c>
      <c r="G22" s="24" t="n">
        <v>0.92</v>
      </c>
      <c r="H22" s="24" t="n">
        <v>0.78</v>
      </c>
      <c r="I22" s="24" t="n">
        <v>0.92</v>
      </c>
      <c r="J22" s="24" t="n">
        <v>0.15</v>
      </c>
      <c r="K22" s="24" t="n">
        <v>0.4</v>
      </c>
      <c r="L22" s="24" t="n">
        <v>0.22</v>
      </c>
      <c r="M22" s="25">
        <f>IFERROR(F22*0.213+G22*0.073+H22*0.117+I22*0.349+J22*0.167+K22*0.033+L22*0.048, "")</f>
        <v/>
      </c>
      <c r="N22" s="26" t="inlineStr">
        <is>
          <t>Saturado</t>
        </is>
      </c>
    </row>
    <row r="23" ht="48" customHeight="1">
      <c r="A23" s="21" t="n">
        <v>14</v>
      </c>
      <c r="B23" s="22" t="inlineStr">
        <is>
          <t>SWE-bench Verified</t>
        </is>
      </c>
      <c r="C23" s="21" t="inlineStr">
        <is>
          <t>D3</t>
        </is>
      </c>
      <c r="D23" s="16" t="inlineStr">
        <is>
          <t>Subset validado por humanos: 500 issues de GitHub en repos reales de Python. Evaluación por pruebas unitarias.</t>
        </is>
      </c>
      <c r="E23" s="23" t="inlineStr">
        <is>
          <t>https://openai.com/index/introducing-swe-bench-verified/</t>
        </is>
      </c>
      <c r="F23" s="24" t="n">
        <v>0.62</v>
      </c>
      <c r="G23" s="24" t="n">
        <v>0.85</v>
      </c>
      <c r="H23" s="24" t="n">
        <v>0.88</v>
      </c>
      <c r="I23" s="24" t="n">
        <v>0.92</v>
      </c>
      <c r="J23" s="24" t="n">
        <v>0.5</v>
      </c>
      <c r="K23" s="24" t="n">
        <v>0.55</v>
      </c>
      <c r="L23" s="24" t="n">
        <v>0.28</v>
      </c>
      <c r="M23" s="25">
        <f>IFERROR(F23*0.213+G23*0.073+H23*0.117+I23*0.349+J23*0.167+K23*0.033+L23*0.048, "")</f>
        <v/>
      </c>
      <c r="N23" s="26" t="n"/>
    </row>
    <row r="24" ht="48" customHeight="1">
      <c r="A24" s="21" t="n">
        <v>15</v>
      </c>
      <c r="B24" s="22" t="inlineStr">
        <is>
          <t>LiveCodeBench</t>
        </is>
      </c>
      <c r="C24" s="21" t="inlineStr">
        <is>
          <t>D3</t>
        </is>
      </c>
      <c r="D24" s="16" t="inlineStr">
        <is>
          <t>Benchmark de generación de código con problemas recientes de competencias. Actualización trimestral.</t>
        </is>
      </c>
      <c r="E24" s="23" t="inlineStr">
        <is>
          <t>https://livecodebench.github.io/</t>
        </is>
      </c>
      <c r="F24" s="24" t="n">
        <v>0.58</v>
      </c>
      <c r="G24" s="24" t="n">
        <v>0.86</v>
      </c>
      <c r="H24" s="24" t="n">
        <v>0.92</v>
      </c>
      <c r="I24" s="24" t="n">
        <v>0.9</v>
      </c>
      <c r="J24" s="24" t="n">
        <v>0.85</v>
      </c>
      <c r="K24" s="24" t="n">
        <v>0.6</v>
      </c>
      <c r="L24" s="24" t="n">
        <v>0.25</v>
      </c>
      <c r="M24" s="25">
        <f>IFERROR(F24*0.213+G24*0.073+H24*0.117+I24*0.349+J24*0.167+K24*0.033+L24*0.048, "")</f>
        <v/>
      </c>
      <c r="N24" s="26" t="n"/>
    </row>
    <row r="25" ht="48" customHeight="1">
      <c r="A25" s="21" t="n">
        <v>16</v>
      </c>
      <c r="B25" s="22" t="inlineStr">
        <is>
          <t>MT-Bench</t>
        </is>
      </c>
      <c r="C25" s="21" t="inlineStr">
        <is>
          <t>D3</t>
        </is>
      </c>
      <c r="D25" s="16" t="inlineStr">
        <is>
          <t>80 preguntas multi-turno en 8 categorías. LLM-as-judge (GPT-4) para puntuar.</t>
        </is>
      </c>
      <c r="E25" s="23" t="inlineStr">
        <is>
          <t>https://arxiv.org/abs/2306.05685</t>
        </is>
      </c>
      <c r="F25" s="24" t="n">
        <v>0.7</v>
      </c>
      <c r="G25" s="24" t="n">
        <v>0.76</v>
      </c>
      <c r="H25" s="24" t="n">
        <v>0.7</v>
      </c>
      <c r="I25" s="24" t="n">
        <v>0.68</v>
      </c>
      <c r="J25" s="24" t="n">
        <v>0.28</v>
      </c>
      <c r="K25" s="24" t="n">
        <v>0.68</v>
      </c>
      <c r="L25" s="24" t="n">
        <v>0.25</v>
      </c>
      <c r="M25" s="25">
        <f>IFERROR(F25*0.213+G25*0.073+H25*0.117+I25*0.349+J25*0.167+K25*0.033+L25*0.048, "")</f>
        <v/>
      </c>
      <c r="N25" s="26" t="n"/>
    </row>
    <row r="26" ht="48" customHeight="1">
      <c r="A26" s="21" t="n">
        <v>17</v>
      </c>
      <c r="B26" s="22" t="inlineStr">
        <is>
          <t>Chatbot Arena</t>
        </is>
      </c>
      <c r="C26" s="21" t="inlineStr">
        <is>
          <t>D3</t>
        </is>
      </c>
      <c r="D26" s="16" t="inlineStr">
        <is>
          <t>Comparaciones pareadas ciegas crowdsourced. Ranking Elo basado en preferencias humanas.</t>
        </is>
      </c>
      <c r="E26" s="23" t="inlineStr">
        <is>
          <t>https://lmarena.ai/</t>
        </is>
      </c>
      <c r="F26" s="24" t="n">
        <v>0.72</v>
      </c>
      <c r="G26" s="24" t="n">
        <v>0.72</v>
      </c>
      <c r="H26" s="24" t="n">
        <v>0.74</v>
      </c>
      <c r="I26" s="24" t="n">
        <v>0.45</v>
      </c>
      <c r="J26" s="24" t="n">
        <v>0.72</v>
      </c>
      <c r="K26" s="24" t="n">
        <v>0.82</v>
      </c>
      <c r="L26" s="24" t="n">
        <v>0.42</v>
      </c>
      <c r="M26" s="25">
        <f>IFERROR(F26*0.213+G26*0.073+H26*0.117+I26*0.349+J26*0.167+K26*0.033+L26*0.048, "")</f>
        <v/>
      </c>
      <c r="N26" s="26" t="n"/>
    </row>
    <row r="27" ht="19.5" customHeight="1">
      <c r="A27" s="1" t="inlineStr">
        <is>
          <t>D4 — Interaction and Agency (4 benchmarks)</t>
        </is>
      </c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1" t="n"/>
    </row>
    <row r="28" ht="48" customHeight="1">
      <c r="A28" s="21" t="n">
        <v>18</v>
      </c>
      <c r="B28" s="22" t="inlineStr">
        <is>
          <t>GAIA</t>
        </is>
      </c>
      <c r="C28" s="21" t="inlineStr">
        <is>
          <t>D4</t>
        </is>
      </c>
      <c r="D28" s="16" t="inlineStr">
        <is>
          <t>General AI Assistants. Uso de herramientas, razonamiento multi-hop, recuperación de info del mundo real.</t>
        </is>
      </c>
      <c r="E28" s="23" t="inlineStr">
        <is>
          <t>https://huggingface.co/gaia-benchmark</t>
        </is>
      </c>
      <c r="F28" s="24" t="n">
        <v>0.6</v>
      </c>
      <c r="G28" s="24" t="n">
        <v>0.82</v>
      </c>
      <c r="H28" s="24" t="n">
        <v>0.87</v>
      </c>
      <c r="I28" s="24" t="n">
        <v>0.74</v>
      </c>
      <c r="J28" s="24" t="n">
        <v>0.5</v>
      </c>
      <c r="K28" s="24" t="n">
        <v>0.84</v>
      </c>
      <c r="L28" s="24" t="n">
        <v>0.3</v>
      </c>
      <c r="M28" s="25">
        <f>IFERROR(F28*0.213+G28*0.073+H28*0.117+I28*0.349+J28*0.167+K28*0.033+L28*0.048, "")</f>
        <v/>
      </c>
      <c r="N28" s="26" t="n"/>
    </row>
    <row r="29" ht="48" customHeight="1">
      <c r="A29" s="21" t="n">
        <v>19</v>
      </c>
      <c r="B29" s="22" t="inlineStr">
        <is>
          <t>AgentBench</t>
        </is>
      </c>
      <c r="C29" s="21" t="inlineStr">
        <is>
          <t>D4</t>
        </is>
      </c>
      <c r="D29" s="16" t="inlineStr">
        <is>
          <t>Tareas agénticas en SO, BD, web, juegos. Evaluación interactiva multi-paso.</t>
        </is>
      </c>
      <c r="E29" s="23" t="inlineStr">
        <is>
          <t>https://github.com/THUDM/AgentBench</t>
        </is>
      </c>
      <c r="F29" s="24" t="n">
        <v>0.55</v>
      </c>
      <c r="G29" s="24" t="n">
        <v>0.78</v>
      </c>
      <c r="H29" s="24" t="n">
        <v>0.8</v>
      </c>
      <c r="I29" s="24" t="n">
        <v>0.72</v>
      </c>
      <c r="J29" s="24" t="n">
        <v>0.73</v>
      </c>
      <c r="K29" s="24" t="n">
        <v>0.85</v>
      </c>
      <c r="L29" s="24" t="n">
        <v>0.28</v>
      </c>
      <c r="M29" s="25">
        <f>IFERROR(F29*0.213+G29*0.073+H29*0.117+I29*0.349+J29*0.167+K29*0.033+L29*0.048, "")</f>
        <v/>
      </c>
      <c r="N29" s="26" t="n"/>
    </row>
    <row r="30" ht="48" customHeight="1">
      <c r="A30" s="21" t="n">
        <v>20</v>
      </c>
      <c r="B30" s="22" t="inlineStr">
        <is>
          <t>WebArena</t>
        </is>
      </c>
      <c r="C30" s="21" t="inlineStr">
        <is>
          <t>D4</t>
        </is>
      </c>
      <c r="D30" s="16" t="inlineStr">
        <is>
          <t>Sitios web funcionales simulados (e-commerce, foros, CMS). Tareas multi-paso en entornos reales.</t>
        </is>
      </c>
      <c r="E30" s="23" t="inlineStr">
        <is>
          <t>https://webarena.dev/</t>
        </is>
      </c>
      <c r="F30" s="24" t="n">
        <v>0.55</v>
      </c>
      <c r="G30" s="24" t="n">
        <v>0.8</v>
      </c>
      <c r="H30" s="24" t="n">
        <v>0.85</v>
      </c>
      <c r="I30" s="24" t="n">
        <v>0.78</v>
      </c>
      <c r="J30" s="24" t="n">
        <v>0.7</v>
      </c>
      <c r="K30" s="24" t="n">
        <v>0.72</v>
      </c>
      <c r="L30" s="24" t="n">
        <v>0.28</v>
      </c>
      <c r="M30" s="25">
        <f>IFERROR(F30*0.213+G30*0.073+H30*0.117+I30*0.349+J30*0.167+K30*0.033+L30*0.048, "")</f>
        <v/>
      </c>
      <c r="N30" s="26" t="n"/>
    </row>
    <row r="31" ht="48" customHeight="1">
      <c r="A31" s="21" t="n">
        <v>21</v>
      </c>
      <c r="B31" s="22" t="inlineStr">
        <is>
          <t>OmniAI OCR</t>
        </is>
      </c>
      <c r="C31" s="21" t="inlineStr">
        <is>
          <t>D4</t>
        </is>
      </c>
      <c r="D31" s="16" t="inlineStr">
        <is>
          <t>1,000 documentos reales (facturas, recibos, formularios) para extracción JSON. Evalúa OCR y multimodal LLMs.</t>
        </is>
      </c>
      <c r="E31" s="23" t="inlineStr">
        <is>
          <t>https://huggingface.co/datasets/getomni-ai/ocr-benchmark</t>
        </is>
      </c>
      <c r="F31" s="24" t="n">
        <v>0.48</v>
      </c>
      <c r="G31" s="24" t="n">
        <v>0.82</v>
      </c>
      <c r="H31" s="24" t="n">
        <v>0.76</v>
      </c>
      <c r="I31" s="24" t="n">
        <v>0.76</v>
      </c>
      <c r="J31" s="24" t="n">
        <v>0.62</v>
      </c>
      <c r="K31" s="24" t="n">
        <v>0.55</v>
      </c>
      <c r="L31" s="24" t="n">
        <v>0.3</v>
      </c>
      <c r="M31" s="25">
        <f>IFERROR(F31*0.213+G31*0.073+H31*0.117+I31*0.349+J31*0.167+K31*0.033+L31*0.048, "")</f>
        <v/>
      </c>
      <c r="N31" s="26" t="n"/>
    </row>
    <row r="32" ht="19.5" customHeight="1">
      <c r="A32" s="1" t="inlineStr">
        <is>
          <t>D5 — Alignment and Safety (5 benchmarks)</t>
        </is>
      </c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1" t="n"/>
    </row>
    <row r="33" ht="48" customHeight="1">
      <c r="A33" s="21" t="n">
        <v>22</v>
      </c>
      <c r="B33" s="22" t="inlineStr">
        <is>
          <t>TruthfulQA</t>
        </is>
      </c>
      <c r="C33" s="21" t="inlineStr">
        <is>
          <t>D5</t>
        </is>
      </c>
      <c r="D33" s="16" t="inlineStr">
        <is>
          <t>817 preguntas adversariales que apuntan a misconceptions humanos. Mide veracidad vs imitación.</t>
        </is>
      </c>
      <c r="E33" s="23" t="inlineStr">
        <is>
          <t>https://arxiv.org/abs/2109.07958</t>
        </is>
      </c>
      <c r="F33" s="24" t="n">
        <v>0.55</v>
      </c>
      <c r="G33" s="24" t="n">
        <v>0.8</v>
      </c>
      <c r="H33" s="24" t="n">
        <v>0.74</v>
      </c>
      <c r="I33" s="24" t="n">
        <v>0.72</v>
      </c>
      <c r="J33" s="24" t="n">
        <v>0.45</v>
      </c>
      <c r="K33" s="24" t="n">
        <v>0.55</v>
      </c>
      <c r="L33" s="24" t="n">
        <v>0.3</v>
      </c>
      <c r="M33" s="25">
        <f>IFERROR(F33*0.213+G33*0.073+H33*0.117+I33*0.349+J33*0.167+K33*0.033+L33*0.048, "")</f>
        <v/>
      </c>
      <c r="N33" s="26" t="n"/>
    </row>
    <row r="34" ht="48" customHeight="1">
      <c r="A34" s="21" t="n">
        <v>23</v>
      </c>
      <c r="B34" s="22" t="inlineStr">
        <is>
          <t>HarmBench</t>
        </is>
      </c>
      <c r="C34" s="21" t="inlineStr">
        <is>
          <t>D5</t>
        </is>
      </c>
      <c r="D34" s="16" t="inlineStr">
        <is>
          <t>Framework estandarizado para red-teaming automatizado. 7 categorías de daño, prueba de jailbreak.</t>
        </is>
      </c>
      <c r="E34" s="23" t="inlineStr">
        <is>
          <t>https://github.com/centerforaisafety/HarmBench</t>
        </is>
      </c>
      <c r="F34" s="24" t="n">
        <v>0.62</v>
      </c>
      <c r="G34" s="24" t="n">
        <v>0.82</v>
      </c>
      <c r="H34" s="24" t="n">
        <v>0.82</v>
      </c>
      <c r="I34" s="24" t="n">
        <v>0.85</v>
      </c>
      <c r="J34" s="24" t="n">
        <v>0.68</v>
      </c>
      <c r="K34" s="24" t="n">
        <v>0.65</v>
      </c>
      <c r="L34" s="24" t="n">
        <v>0.35</v>
      </c>
      <c r="M34" s="25">
        <f>IFERROR(F34*0.213+G34*0.073+H34*0.117+I34*0.349+J34*0.167+K34*0.033+L34*0.048, "")</f>
        <v/>
      </c>
      <c r="N34" s="26" t="n"/>
    </row>
    <row r="35" ht="48" customHeight="1">
      <c r="A35" s="21" t="n">
        <v>24</v>
      </c>
      <c r="B35" s="22" t="inlineStr">
        <is>
          <t>SafetyBench</t>
        </is>
      </c>
      <c r="C35" s="21" t="inlineStr">
        <is>
          <t>D5</t>
        </is>
      </c>
      <c r="D35" s="16" t="inlineStr">
        <is>
          <t>11,435 preguntas de opción múltiple en 7 categorías de seguridad. Inglés y chino.</t>
        </is>
      </c>
      <c r="E35" s="23" t="inlineStr">
        <is>
          <t>https://github.com/thu-coai/SafetyBench</t>
        </is>
      </c>
      <c r="F35" s="24" t="n">
        <v>0.5600000000000001</v>
      </c>
      <c r="G35" s="24" t="n">
        <v>0.82</v>
      </c>
      <c r="H35" s="24" t="n">
        <v>0.78</v>
      </c>
      <c r="I35" s="24" t="n">
        <v>0.82</v>
      </c>
      <c r="J35" s="24" t="n">
        <v>0.46</v>
      </c>
      <c r="K35" s="24" t="n">
        <v>0.68</v>
      </c>
      <c r="L35" s="24" t="n">
        <v>0.6</v>
      </c>
      <c r="M35" s="25">
        <f>IFERROR(F35*0.213+G35*0.073+H35*0.117+I35*0.349+J35*0.167+K35*0.033+L35*0.048, "")</f>
        <v/>
      </c>
      <c r="N35" s="26" t="n"/>
    </row>
    <row r="36" ht="48" customHeight="1">
      <c r="A36" s="21" t="n">
        <v>25</v>
      </c>
      <c r="B36" s="22" t="inlineStr">
        <is>
          <t>BBQ</t>
        </is>
      </c>
      <c r="C36" s="21" t="inlineStr">
        <is>
          <t>D5</t>
        </is>
      </c>
      <c r="D36" s="16" t="inlineStr">
        <is>
          <t>Bias Benchmark for QA. Mide sesgos sociales (edad, género, raza, religión) en QA con contexto ambiguo.</t>
        </is>
      </c>
      <c r="E36" s="23" t="inlineStr">
        <is>
          <t>https://github.com/nyu-mll/bbq</t>
        </is>
      </c>
      <c r="F36" s="24" t="n">
        <v>0.68</v>
      </c>
      <c r="G36" s="24" t="n">
        <v>0.86</v>
      </c>
      <c r="H36" s="24" t="n">
        <v>0.75</v>
      </c>
      <c r="I36" s="24" t="n">
        <v>0.82</v>
      </c>
      <c r="J36" s="24" t="n">
        <v>0.5</v>
      </c>
      <c r="K36" s="24" t="n">
        <v>0.55</v>
      </c>
      <c r="L36" s="24" t="n">
        <v>0.7</v>
      </c>
      <c r="M36" s="25">
        <f>IFERROR(F36*0.213+G36*0.073+H36*0.117+I36*0.349+J36*0.167+K36*0.033+L36*0.048, "")</f>
        <v/>
      </c>
      <c r="N36" s="26" t="inlineStr">
        <is>
          <t>No tiene leaderboard oficial, pero hay varias fuentes de contaminación por cómo está diseñado</t>
        </is>
      </c>
    </row>
    <row r="37" ht="48" customHeight="1">
      <c r="A37" s="21" t="n">
        <v>26</v>
      </c>
      <c r="B37" s="22" t="inlineStr">
        <is>
          <t>HHH</t>
        </is>
      </c>
      <c r="C37" s="21" t="inlineStr">
        <is>
          <t>D5</t>
        </is>
      </c>
      <c r="D37" s="16" t="inlineStr">
        <is>
          <t>Helpful, Honest, Harmless. Evalúa alignment en tres dimensiones: utilidad, honestidad, ausencia de daño.</t>
        </is>
      </c>
      <c r="E37" s="23" t="inlineStr">
        <is>
          <t>https://arxiv.org/abs/2112.00861</t>
        </is>
      </c>
      <c r="F37" s="24" t="n">
        <v>0.62</v>
      </c>
      <c r="G37" s="24" t="n">
        <v>0.74</v>
      </c>
      <c r="H37" s="24" t="n">
        <v>0.6</v>
      </c>
      <c r="I37" s="24" t="n">
        <v>0.66</v>
      </c>
      <c r="J37" s="24" t="n">
        <v>0.32</v>
      </c>
      <c r="K37" s="24" t="n">
        <v>0.5</v>
      </c>
      <c r="L37" s="24" t="n">
        <v>0.32</v>
      </c>
      <c r="M37" s="25">
        <f>IFERROR(F37*0.213+G37*0.073+H37*0.117+I37*0.349+J37*0.167+K37*0.033+L37*0.048, "")</f>
        <v/>
      </c>
      <c r="N37" s="28" t="inlineStr">
        <is>
          <t>La saturación no es directamente medible, pero el conjunto de datos de referencia es pequeño, público, estático, antiguo y probablemente esté contaminado o sobreajustado, por lo que su robustez es débil</t>
        </is>
      </c>
    </row>
    <row r="38" ht="19.5" customHeight="1">
      <c r="A38" s="1" t="inlineStr">
        <is>
          <t>D6 — Holistic Evaluation (4 benchmarks)</t>
        </is>
      </c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1" t="n"/>
    </row>
    <row r="39" ht="48" customHeight="1">
      <c r="A39" s="21" t="n">
        <v>27</v>
      </c>
      <c r="B39" s="22" t="inlineStr">
        <is>
          <t>HELM</t>
        </is>
      </c>
      <c r="C39" s="21" t="inlineStr">
        <is>
          <t>D6</t>
        </is>
      </c>
      <c r="D39" s="16" t="inlineStr">
        <is>
          <t>Holistic Evaluation of Language Models. Suite con &gt;40 escenarios, métricas estandarizadas, pipeline containerizado.</t>
        </is>
      </c>
      <c r="E39" s="23" t="inlineStr">
        <is>
          <t>https://crfm.stanford.edu/helm/</t>
        </is>
      </c>
      <c r="F39" s="24" t="n">
        <v>0.5600000000000001</v>
      </c>
      <c r="G39" s="24" t="n">
        <v>0.88</v>
      </c>
      <c r="H39" s="24" t="n">
        <v>0.92</v>
      </c>
      <c r="I39" s="24" t="n">
        <v>0.95</v>
      </c>
      <c r="J39" s="24" t="n">
        <v>0.55</v>
      </c>
      <c r="K39" s="24" t="n">
        <v>0.95</v>
      </c>
      <c r="L39" s="24" t="n">
        <v>0.76</v>
      </c>
      <c r="M39" s="25">
        <f>IFERROR(F39*0.213+G39*0.073+H39*0.117+I39*0.349+J39*0.167+K39*0.033+L39*0.048, "")</f>
        <v/>
      </c>
      <c r="N39" s="26" t="n"/>
    </row>
    <row r="40" ht="48" customHeight="1">
      <c r="A40" s="21" t="n">
        <v>28</v>
      </c>
      <c r="B40" s="22" t="inlineStr">
        <is>
          <t>LiveBench</t>
        </is>
      </c>
      <c r="C40" s="21" t="inlineStr">
        <is>
          <t>D6</t>
        </is>
      </c>
      <c r="D40" s="16" t="inlineStr">
        <is>
          <t>Suite resistente a contaminación con rotación mensual del test set en razonamiento, código, mate, lenguaje.</t>
        </is>
      </c>
      <c r="E40" s="23" t="inlineStr">
        <is>
          <t>https://livebench.ai/</t>
        </is>
      </c>
      <c r="F40" s="24" t="n">
        <v>0.5600000000000001</v>
      </c>
      <c r="G40" s="24" t="n">
        <v>0.9</v>
      </c>
      <c r="H40" s="24" t="n">
        <v>0.9399999999999999</v>
      </c>
      <c r="I40" s="24" t="n">
        <v>0.89</v>
      </c>
      <c r="J40" s="24" t="n">
        <v>0.88</v>
      </c>
      <c r="K40" s="24" t="n">
        <v>0.82</v>
      </c>
      <c r="L40" s="24" t="n">
        <v>0.3</v>
      </c>
      <c r="M40" s="25">
        <f>IFERROR(F40*0.213+G40*0.073+H40*0.117+I40*0.349+J40*0.167+K40*0.033+L40*0.048, "")</f>
        <v/>
      </c>
      <c r="N40" s="26" t="n"/>
    </row>
    <row r="41" ht="48" customHeight="1">
      <c r="A41" s="21" t="n">
        <v>29</v>
      </c>
      <c r="B41" s="22" t="inlineStr">
        <is>
          <t>BIG-bench</t>
        </is>
      </c>
      <c r="C41" s="21" t="inlineStr">
        <is>
          <t>D6</t>
        </is>
      </c>
      <c r="D41" s="16" t="inlineStr">
        <is>
          <t>Suite masiva de 200+ tareas diversas (lingüística, ajedrez, lógica, etc.). Foundational en holistic evaluation.</t>
        </is>
      </c>
      <c r="E41" s="29" t="inlineStr">
        <is>
          <t>https://github.com/google/BIG-bench</t>
        </is>
      </c>
      <c r="F41" s="24" t="n">
        <v>0.5</v>
      </c>
      <c r="G41" s="24" t="n">
        <v>0.74</v>
      </c>
      <c r="H41" s="24" t="n">
        <v>0.72</v>
      </c>
      <c r="I41" s="24" t="n">
        <v>0.78</v>
      </c>
      <c r="J41" s="24" t="n">
        <v>0.25</v>
      </c>
      <c r="K41" s="24" t="n">
        <v>0.95</v>
      </c>
      <c r="L41" s="24" t="n">
        <v>0.36</v>
      </c>
      <c r="M41" s="25">
        <f>IFERROR(F41*0.213+G41*0.073+H41*0.117+I41*0.349+J41*0.167+K41*0.033+L41*0.048, "")</f>
        <v/>
      </c>
      <c r="N41" s="28" t="inlineStr">
        <is>
          <t>El paper de BBEH menciona que este benchmark se encuentra saturado 90%+</t>
        </is>
      </c>
    </row>
    <row r="42" ht="48" customHeight="1">
      <c r="A42" s="21" t="n">
        <v>30</v>
      </c>
      <c r="B42" s="22" t="inlineStr">
        <is>
          <t>C-Eval</t>
        </is>
      </c>
      <c r="C42" s="21" t="inlineStr">
        <is>
          <t>D6</t>
        </is>
      </c>
      <c r="D42" s="16" t="inlineStr">
        <is>
          <t>Suite de evaluación multi-nivel multi-disciplina en chino. 13,948 preguntas en 52 disciplinas.</t>
        </is>
      </c>
      <c r="E42" s="23" t="inlineStr">
        <is>
          <t>https://cevalbenchmark.com/</t>
        </is>
      </c>
      <c r="F42" s="24" t="n">
        <v>0.5600000000000001</v>
      </c>
      <c r="G42" s="24" t="n">
        <v>0.88</v>
      </c>
      <c r="H42" s="24" t="n">
        <v>0.8</v>
      </c>
      <c r="I42" s="24" t="n">
        <v>0.84</v>
      </c>
      <c r="J42" s="24" t="n">
        <v>0.3</v>
      </c>
      <c r="K42" s="24" t="n">
        <v>0.8</v>
      </c>
      <c r="L42" s="24" t="n">
        <v>0.55</v>
      </c>
      <c r="M42" s="25">
        <f>IFERROR(F42*0.213+G42*0.073+H42*0.117+I42*0.349+J42*0.167+K42*0.033+L42*0.048, "")</f>
        <v/>
      </c>
      <c r="N42" s="26" t="n"/>
    </row>
    <row r="43"/>
    <row r="44"/>
  </sheetData>
  <mergeCells count="10">
    <mergeCell ref="C2:E2"/>
    <mergeCell ref="A27:N27"/>
    <mergeCell ref="A38:N38"/>
    <mergeCell ref="A21:N21"/>
    <mergeCell ref="A7:N7"/>
    <mergeCell ref="C3:E3"/>
    <mergeCell ref="G2:N3"/>
    <mergeCell ref="A32:N32"/>
    <mergeCell ref="A14:N14"/>
    <mergeCell ref="F5:L5"/>
  </mergeCells>
  <dataValidations count="1">
    <dataValidation sqref="F7:L42" showDropDown="0" showInputMessage="1" showErrorMessage="1" allowBlank="1" errorTitle="Valor inválido" error="El score debe estar entre 0.00 y 1.00." promptTitle="Rango de valores" prompt="Entre 0.00 y 1.00. Bajo ≤0.30, Moderado 0.31–0.60, Alto 0.61–0.80, Excelente ≥0.81." type="decimal">
      <formula1>0</formula1>
      <formula2>1</formula2>
    </dataValidation>
  </dataValidations>
  <hyperlinks>
    <hyperlink xmlns:r="http://schemas.openxmlformats.org/officeDocument/2006/relationships" ref="E8" r:id="rId1"/>
    <hyperlink xmlns:r="http://schemas.openxmlformats.org/officeDocument/2006/relationships" ref="E9" r:id="rId2"/>
    <hyperlink xmlns:r="http://schemas.openxmlformats.org/officeDocument/2006/relationships" ref="E10" r:id="rId3"/>
    <hyperlink xmlns:r="http://schemas.openxmlformats.org/officeDocument/2006/relationships" ref="E11" r:id="rId4"/>
    <hyperlink xmlns:r="http://schemas.openxmlformats.org/officeDocument/2006/relationships" ref="E12" r:id="rId5"/>
    <hyperlink xmlns:r="http://schemas.openxmlformats.org/officeDocument/2006/relationships" ref="E13" r:id="rId6"/>
    <hyperlink xmlns:r="http://schemas.openxmlformats.org/officeDocument/2006/relationships" ref="E15" r:id="rId7"/>
    <hyperlink xmlns:r="http://schemas.openxmlformats.org/officeDocument/2006/relationships" ref="E16" r:id="rId8"/>
    <hyperlink xmlns:r="http://schemas.openxmlformats.org/officeDocument/2006/relationships" ref="E17" r:id="rId9"/>
    <hyperlink xmlns:r="http://schemas.openxmlformats.org/officeDocument/2006/relationships" ref="E18" r:id="rId10"/>
    <hyperlink xmlns:r="http://schemas.openxmlformats.org/officeDocument/2006/relationships" ref="E19" r:id="rId11"/>
    <hyperlink xmlns:r="http://schemas.openxmlformats.org/officeDocument/2006/relationships" ref="E20" r:id="rId12"/>
    <hyperlink xmlns:r="http://schemas.openxmlformats.org/officeDocument/2006/relationships" ref="E22" r:id="rId13"/>
    <hyperlink xmlns:r="http://schemas.openxmlformats.org/officeDocument/2006/relationships" ref="E23" r:id="rId14"/>
    <hyperlink xmlns:r="http://schemas.openxmlformats.org/officeDocument/2006/relationships" ref="E24" r:id="rId15"/>
    <hyperlink xmlns:r="http://schemas.openxmlformats.org/officeDocument/2006/relationships" ref="E25" r:id="rId16"/>
    <hyperlink xmlns:r="http://schemas.openxmlformats.org/officeDocument/2006/relationships" ref="E26" r:id="rId17"/>
    <hyperlink xmlns:r="http://schemas.openxmlformats.org/officeDocument/2006/relationships" ref="E28" r:id="rId18"/>
    <hyperlink xmlns:r="http://schemas.openxmlformats.org/officeDocument/2006/relationships" ref="E29" r:id="rId19"/>
    <hyperlink xmlns:r="http://schemas.openxmlformats.org/officeDocument/2006/relationships" ref="E30" r:id="rId20"/>
    <hyperlink xmlns:r="http://schemas.openxmlformats.org/officeDocument/2006/relationships" ref="E31" r:id="rId21"/>
    <hyperlink xmlns:r="http://schemas.openxmlformats.org/officeDocument/2006/relationships" ref="E33" r:id="rId22"/>
    <hyperlink xmlns:r="http://schemas.openxmlformats.org/officeDocument/2006/relationships" ref="E34" r:id="rId23"/>
    <hyperlink xmlns:r="http://schemas.openxmlformats.org/officeDocument/2006/relationships" ref="E35" r:id="rId24"/>
    <hyperlink xmlns:r="http://schemas.openxmlformats.org/officeDocument/2006/relationships" ref="E36" r:id="rId25"/>
    <hyperlink xmlns:r="http://schemas.openxmlformats.org/officeDocument/2006/relationships" ref="E37" r:id="rId26"/>
    <hyperlink xmlns:r="http://schemas.openxmlformats.org/officeDocument/2006/relationships" ref="E39" r:id="rId27"/>
    <hyperlink xmlns:r="http://schemas.openxmlformats.org/officeDocument/2006/relationships" ref="E40" r:id="rId28"/>
    <hyperlink xmlns:r="http://schemas.openxmlformats.org/officeDocument/2006/relationships" ref="E41" r:id="rId29"/>
    <hyperlink xmlns:r="http://schemas.openxmlformats.org/officeDocument/2006/relationships" ref="E42" r:id="rId30"/>
  </hyperlink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2026-05-10T17:21:46Z</dcterms:created>
  <dcterms:modified xmlns:dcterms="http://purl.org/dc/terms/" xmlns:xsi="http://www.w3.org/2001/XMLSchema-instance" xsi:type="dcterms:W3CDTF">2026-05-13T19:51:16Z</dcterms:modified>
  <cp:lastModifiedBy>Carlos Miranda Rocha</cp:lastModifiedBy>
  <cp:revision>0</cp:revision>
</cp:coreProperties>
</file>